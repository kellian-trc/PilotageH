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cuments\EMECI\COURS\M2PID 2\Lean Management\Dashboard\PilotageH_autonome\PilotageH_autonome\public\"/>
    </mc:Choice>
  </mc:AlternateContent>
  <xr:revisionPtr revIDLastSave="0" documentId="13_ncr:1_{1C0EA33E-7A68-4B67-BEF8-21CED10119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imentation" sheetId="1" r:id="rId1"/>
  </sheets>
  <calcPr calcId="191029"/>
</workbook>
</file>

<file path=xl/calcChain.xml><?xml version="1.0" encoding="utf-8"?>
<calcChain xmlns="http://schemas.openxmlformats.org/spreadsheetml/2006/main">
  <c r="C25" i="1" l="1"/>
  <c r="E25" i="1"/>
  <c r="D25" i="1" s="1"/>
  <c r="F25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4" i="1"/>
  <c r="E5" i="1"/>
  <c r="E6" i="1"/>
  <c r="D6" i="1" s="1"/>
  <c r="E7" i="1"/>
  <c r="E8" i="1"/>
  <c r="E9" i="1"/>
  <c r="E10" i="1"/>
  <c r="D10" i="1" s="1"/>
  <c r="E11" i="1"/>
  <c r="D11" i="1" s="1"/>
  <c r="E12" i="1"/>
  <c r="D12" i="1" s="1"/>
  <c r="E13" i="1"/>
  <c r="E14" i="1"/>
  <c r="D14" i="1" s="1"/>
  <c r="E15" i="1"/>
  <c r="D15" i="1" s="1"/>
  <c r="E16" i="1"/>
  <c r="D16" i="1" s="1"/>
  <c r="E17" i="1"/>
  <c r="E18" i="1"/>
  <c r="D18" i="1" s="1"/>
  <c r="E19" i="1"/>
  <c r="E20" i="1"/>
  <c r="D20" i="1" s="1"/>
  <c r="E21" i="1"/>
  <c r="D21" i="1" s="1"/>
  <c r="E22" i="1"/>
  <c r="E23" i="1"/>
  <c r="D23" i="1" s="1"/>
  <c r="E24" i="1"/>
  <c r="D24" i="1" s="1"/>
  <c r="E26" i="1"/>
  <c r="E27" i="1"/>
  <c r="D27" i="1" s="1"/>
  <c r="E28" i="1"/>
  <c r="D28" i="1" s="1"/>
  <c r="E29" i="1"/>
  <c r="D29" i="1" s="1"/>
  <c r="E30" i="1"/>
  <c r="D30" i="1" s="1"/>
  <c r="E31" i="1"/>
  <c r="D31" i="1" s="1"/>
  <c r="E32" i="1"/>
  <c r="E33" i="1"/>
  <c r="E34" i="1"/>
  <c r="D34" i="1" s="1"/>
  <c r="E35" i="1"/>
  <c r="E36" i="1"/>
  <c r="D36" i="1" s="1"/>
  <c r="E37" i="1"/>
  <c r="D37" i="1" s="1"/>
  <c r="E38" i="1"/>
  <c r="D38" i="1" s="1"/>
  <c r="E39" i="1"/>
  <c r="E40" i="1"/>
  <c r="D40" i="1" s="1"/>
  <c r="E41" i="1"/>
  <c r="E42" i="1"/>
  <c r="D42" i="1" s="1"/>
  <c r="E43" i="1"/>
  <c r="D43" i="1" s="1"/>
  <c r="E44" i="1"/>
  <c r="D44" i="1" s="1"/>
  <c r="E45" i="1"/>
  <c r="D45" i="1" s="1"/>
  <c r="E46" i="1"/>
  <c r="D46" i="1" s="1"/>
  <c r="E47" i="1"/>
  <c r="D47" i="1" s="1"/>
  <c r="E48" i="1"/>
  <c r="E49" i="1"/>
  <c r="D49" i="1" s="1"/>
  <c r="E50" i="1"/>
  <c r="D50" i="1" s="1"/>
  <c r="E51" i="1"/>
  <c r="D51" i="1" s="1"/>
  <c r="E52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3" i="1"/>
  <c r="F2" i="1"/>
  <c r="E4" i="1"/>
  <c r="D41" i="1" l="1"/>
  <c r="D32" i="1"/>
  <c r="D19" i="1"/>
  <c r="D48" i="1"/>
  <c r="D35" i="1"/>
  <c r="D22" i="1"/>
  <c r="D9" i="1"/>
  <c r="D52" i="1"/>
  <c r="D39" i="1"/>
  <c r="D26" i="1"/>
  <c r="D13" i="1"/>
  <c r="D17" i="1"/>
  <c r="D33" i="1"/>
  <c r="D8" i="1"/>
  <c r="D7" i="1"/>
  <c r="D5" i="1"/>
  <c r="D4" i="1"/>
</calcChain>
</file>

<file path=xl/sharedStrings.xml><?xml version="1.0" encoding="utf-8"?>
<sst xmlns="http://schemas.openxmlformats.org/spreadsheetml/2006/main" count="108" uniqueCount="26">
  <si>
    <t>Affaire</t>
  </si>
  <si>
    <t>Métier</t>
  </si>
  <si>
    <t>Heures consommées</t>
  </si>
  <si>
    <t>Budget à date</t>
  </si>
  <si>
    <t>Budget alloué</t>
  </si>
  <si>
    <t>Date</t>
  </si>
  <si>
    <t>Mécanique</t>
  </si>
  <si>
    <t>Essais</t>
  </si>
  <si>
    <t>Montage Conv</t>
  </si>
  <si>
    <t>Montage Nuc</t>
  </si>
  <si>
    <t>Architecte</t>
  </si>
  <si>
    <t>Mesure</t>
  </si>
  <si>
    <t>Transverse</t>
  </si>
  <si>
    <t>Indus Conv</t>
  </si>
  <si>
    <t>Pilotage</t>
  </si>
  <si>
    <t>Fluide</t>
  </si>
  <si>
    <t>MERI</t>
  </si>
  <si>
    <t>Contrôle commande</t>
  </si>
  <si>
    <t>Electricité</t>
  </si>
  <si>
    <t>Activité spécifique</t>
  </si>
  <si>
    <t>Indus Nuc</t>
  </si>
  <si>
    <t>Indus Elec</t>
  </si>
  <si>
    <t>Montage Elec</t>
  </si>
  <si>
    <t>BANC 1</t>
  </si>
  <si>
    <t>BANC 2</t>
  </si>
  <si>
    <t>BANC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</si>
</sst>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selection activeCell="A5" sqref="A5:XFD5"/>
    </sheetView>
  </sheetViews>
  <sheetFormatPr baseColWidth="10" defaultColWidth="8.88671875" defaultRowHeight="14.4" x14ac:dyDescent="0.3"/>
  <cols>
    <col min="1" max="1" width="7.33203125" bestFit="1" customWidth="1"/>
    <col min="2" max="2" width="17.77734375" bestFit="1" customWidth="1"/>
    <col min="3" max="3" width="20.33203125" bestFit="1" customWidth="1"/>
    <col min="4" max="4" width="14" bestFit="1" customWidth="1"/>
    <col min="5" max="5" width="13.88671875" bestFit="1" customWidth="1"/>
    <col min="6" max="6" width="10.5546875" bestFit="1" customWidth="1"/>
  </cols>
  <sheetData>
    <row r="1" spans="1:6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23</v>
      </c>
      <c r="B2" s="1" t="s">
        <v>6</v>
      </c>
      <c r="C2" s="1">
        <v>120</v>
      </c>
      <c r="D2" s="1">
        <v>60</v>
      </c>
      <c r="E2" s="1">
        <v>300</v>
      </c>
      <c r="F2" s="3">
        <f ca="1">RANDBETWEEN(DATE(2026,1,1),DATE(2026,12,31))</f>
        <v>46230</v>
      </c>
    </row>
    <row r="3" spans="1:6" x14ac:dyDescent="0.3">
      <c r="A3" s="1" t="s">
        <v>23</v>
      </c>
      <c r="B3" s="1" t="s">
        <v>15</v>
      </c>
      <c r="C3" s="1">
        <v>80</v>
      </c>
      <c r="D3" s="1">
        <v>70</v>
      </c>
      <c r="E3" s="1">
        <v>180</v>
      </c>
      <c r="F3" s="3">
        <f ca="1">RANDBETWEEN(DATE(2026,1,1),DATE(2026,12,31))</f>
        <v>46145</v>
      </c>
    </row>
    <row r="4" spans="1:6" x14ac:dyDescent="0.3">
      <c r="A4" s="1" t="s">
        <v>23</v>
      </c>
      <c r="B4" s="1" t="s">
        <v>11</v>
      </c>
      <c r="C4" s="1">
        <f ca="1">RANDBETWEEN(100,2500)</f>
        <v>484</v>
      </c>
      <c r="D4" s="1">
        <f ca="1">RANDBETWEEN(100,E4)</f>
        <v>675</v>
      </c>
      <c r="E4" s="1">
        <f t="shared" ref="E4:E19" ca="1" si="0">RANDBETWEEN(100,2500)</f>
        <v>1359</v>
      </c>
      <c r="F4" s="3">
        <f t="shared" ref="F4:F52" ca="1" si="1">RANDBETWEEN(DATE(2026,1,1),DATE(2026,12,31))</f>
        <v>46340</v>
      </c>
    </row>
    <row r="5" spans="1:6" x14ac:dyDescent="0.3">
      <c r="A5" s="1" t="s">
        <v>23</v>
      </c>
      <c r="B5" s="1" t="s">
        <v>18</v>
      </c>
      <c r="C5" s="1">
        <f t="shared" ref="C5:C52" ca="1" si="2">RANDBETWEEN(100,2500)</f>
        <v>524</v>
      </c>
      <c r="D5" s="1">
        <f t="shared" ref="D5:D52" ca="1" si="3">RANDBETWEEN(100,E5)</f>
        <v>565</v>
      </c>
      <c r="E5" s="1">
        <f t="shared" ca="1" si="0"/>
        <v>586</v>
      </c>
      <c r="F5" s="3">
        <f t="shared" ca="1" si="1"/>
        <v>46363</v>
      </c>
    </row>
    <row r="6" spans="1:6" x14ac:dyDescent="0.3">
      <c r="A6" s="1" t="s">
        <v>23</v>
      </c>
      <c r="B6" s="1" t="s">
        <v>17</v>
      </c>
      <c r="C6" s="1">
        <f t="shared" ca="1" si="2"/>
        <v>2316</v>
      </c>
      <c r="D6" s="1">
        <f t="shared" ca="1" si="3"/>
        <v>196</v>
      </c>
      <c r="E6" s="1">
        <f t="shared" ca="1" si="0"/>
        <v>786</v>
      </c>
      <c r="F6" s="3">
        <f t="shared" ca="1" si="1"/>
        <v>46208</v>
      </c>
    </row>
    <row r="7" spans="1:6" x14ac:dyDescent="0.3">
      <c r="A7" s="1" t="s">
        <v>23</v>
      </c>
      <c r="B7" s="1" t="s">
        <v>19</v>
      </c>
      <c r="C7" s="1">
        <f t="shared" ca="1" si="2"/>
        <v>338</v>
      </c>
      <c r="D7" s="1">
        <f t="shared" ca="1" si="3"/>
        <v>1406</v>
      </c>
      <c r="E7" s="1">
        <f t="shared" ca="1" si="0"/>
        <v>2096</v>
      </c>
      <c r="F7" s="3">
        <f t="shared" ca="1" si="1"/>
        <v>46342</v>
      </c>
    </row>
    <row r="8" spans="1:6" x14ac:dyDescent="0.3">
      <c r="A8" s="1" t="s">
        <v>23</v>
      </c>
      <c r="B8" s="1" t="s">
        <v>20</v>
      </c>
      <c r="C8" s="1">
        <f t="shared" ca="1" si="2"/>
        <v>548</v>
      </c>
      <c r="D8" s="1">
        <f t="shared" ca="1" si="3"/>
        <v>851</v>
      </c>
      <c r="E8" s="1">
        <f t="shared" ca="1" si="0"/>
        <v>1445</v>
      </c>
      <c r="F8" s="3">
        <f t="shared" ca="1" si="1"/>
        <v>46041</v>
      </c>
    </row>
    <row r="9" spans="1:6" x14ac:dyDescent="0.3">
      <c r="A9" s="1" t="s">
        <v>23</v>
      </c>
      <c r="B9" s="1" t="s">
        <v>13</v>
      </c>
      <c r="C9" s="1">
        <f t="shared" ca="1" si="2"/>
        <v>1319</v>
      </c>
      <c r="D9" s="1">
        <f t="shared" ca="1" si="3"/>
        <v>356</v>
      </c>
      <c r="E9" s="1">
        <f t="shared" ca="1" si="0"/>
        <v>1315</v>
      </c>
      <c r="F9" s="3">
        <f t="shared" ca="1" si="1"/>
        <v>46279</v>
      </c>
    </row>
    <row r="10" spans="1:6" x14ac:dyDescent="0.3">
      <c r="A10" s="1" t="s">
        <v>23</v>
      </c>
      <c r="B10" s="1" t="s">
        <v>21</v>
      </c>
      <c r="C10" s="1">
        <f t="shared" ca="1" si="2"/>
        <v>131</v>
      </c>
      <c r="D10" s="1">
        <f t="shared" ca="1" si="3"/>
        <v>343</v>
      </c>
      <c r="E10" s="1">
        <f t="shared" ca="1" si="0"/>
        <v>369</v>
      </c>
      <c r="F10" s="3">
        <f t="shared" ca="1" si="1"/>
        <v>46231</v>
      </c>
    </row>
    <row r="11" spans="1:6" x14ac:dyDescent="0.3">
      <c r="A11" s="1" t="s">
        <v>23</v>
      </c>
      <c r="B11" s="1" t="s">
        <v>9</v>
      </c>
      <c r="C11" s="1">
        <f t="shared" ca="1" si="2"/>
        <v>473</v>
      </c>
      <c r="D11" s="1">
        <f t="shared" ca="1" si="3"/>
        <v>2201</v>
      </c>
      <c r="E11" s="1">
        <f t="shared" ca="1" si="0"/>
        <v>2282</v>
      </c>
      <c r="F11" s="3">
        <f t="shared" ca="1" si="1"/>
        <v>46128</v>
      </c>
    </row>
    <row r="12" spans="1:6" x14ac:dyDescent="0.3">
      <c r="A12" s="1" t="s">
        <v>23</v>
      </c>
      <c r="B12" s="1" t="s">
        <v>8</v>
      </c>
      <c r="C12" s="1">
        <f t="shared" ca="1" si="2"/>
        <v>2382</v>
      </c>
      <c r="D12" s="1">
        <f t="shared" ca="1" si="3"/>
        <v>141</v>
      </c>
      <c r="E12" s="1">
        <f t="shared" ca="1" si="0"/>
        <v>390</v>
      </c>
      <c r="F12" s="3">
        <f t="shared" ca="1" si="1"/>
        <v>46213</v>
      </c>
    </row>
    <row r="13" spans="1:6" x14ac:dyDescent="0.3">
      <c r="A13" s="1" t="s">
        <v>23</v>
      </c>
      <c r="B13" s="1" t="s">
        <v>22</v>
      </c>
      <c r="C13" s="1">
        <f t="shared" ca="1" si="2"/>
        <v>1885</v>
      </c>
      <c r="D13" s="1">
        <f t="shared" ca="1" si="3"/>
        <v>115</v>
      </c>
      <c r="E13" s="1">
        <f t="shared" ca="1" si="0"/>
        <v>2351</v>
      </c>
      <c r="F13" s="3">
        <f t="shared" ca="1" si="1"/>
        <v>46217</v>
      </c>
    </row>
    <row r="14" spans="1:6" x14ac:dyDescent="0.3">
      <c r="A14" s="1" t="s">
        <v>23</v>
      </c>
      <c r="B14" s="1" t="s">
        <v>10</v>
      </c>
      <c r="C14" s="1">
        <f t="shared" ca="1" si="2"/>
        <v>1458</v>
      </c>
      <c r="D14" s="1">
        <f t="shared" ca="1" si="3"/>
        <v>163</v>
      </c>
      <c r="E14" s="1">
        <f t="shared" ca="1" si="0"/>
        <v>243</v>
      </c>
      <c r="F14" s="3">
        <f t="shared" ca="1" si="1"/>
        <v>46242</v>
      </c>
    </row>
    <row r="15" spans="1:6" x14ac:dyDescent="0.3">
      <c r="A15" s="1" t="s">
        <v>23</v>
      </c>
      <c r="B15" s="1" t="s">
        <v>14</v>
      </c>
      <c r="C15" s="1">
        <f t="shared" ca="1" si="2"/>
        <v>2060</v>
      </c>
      <c r="D15" s="1">
        <f t="shared" ca="1" si="3"/>
        <v>648</v>
      </c>
      <c r="E15" s="1">
        <f t="shared" ca="1" si="0"/>
        <v>1567</v>
      </c>
      <c r="F15" s="3">
        <f t="shared" ca="1" si="1"/>
        <v>46350</v>
      </c>
    </row>
    <row r="16" spans="1:6" x14ac:dyDescent="0.3">
      <c r="A16" s="1" t="s">
        <v>23</v>
      </c>
      <c r="B16" s="1" t="s">
        <v>12</v>
      </c>
      <c r="C16" s="1">
        <f t="shared" ca="1" si="2"/>
        <v>2289</v>
      </c>
      <c r="D16" s="1">
        <f t="shared" ca="1" si="3"/>
        <v>1560</v>
      </c>
      <c r="E16" s="1">
        <f t="shared" ca="1" si="0"/>
        <v>2255</v>
      </c>
      <c r="F16" s="3">
        <f t="shared" ca="1" si="1"/>
        <v>46353</v>
      </c>
    </row>
    <row r="17" spans="1:6" x14ac:dyDescent="0.3">
      <c r="A17" s="1" t="s">
        <v>23</v>
      </c>
      <c r="B17" s="1" t="s">
        <v>16</v>
      </c>
      <c r="C17" s="1">
        <f t="shared" ca="1" si="2"/>
        <v>1215</v>
      </c>
      <c r="D17" s="1">
        <f t="shared" ca="1" si="3"/>
        <v>342</v>
      </c>
      <c r="E17" s="1">
        <f t="shared" ca="1" si="0"/>
        <v>1602</v>
      </c>
      <c r="F17" s="3">
        <f t="shared" ca="1" si="1"/>
        <v>46074</v>
      </c>
    </row>
    <row r="18" spans="1:6" x14ac:dyDescent="0.3">
      <c r="A18" s="1" t="s">
        <v>23</v>
      </c>
      <c r="B18" s="1" t="s">
        <v>7</v>
      </c>
      <c r="C18" s="1">
        <f t="shared" ca="1" si="2"/>
        <v>1264</v>
      </c>
      <c r="D18" s="1">
        <f t="shared" ca="1" si="3"/>
        <v>351</v>
      </c>
      <c r="E18" s="1">
        <f t="shared" ca="1" si="0"/>
        <v>1239</v>
      </c>
      <c r="F18" s="3">
        <f t="shared" ca="1" si="1"/>
        <v>46249</v>
      </c>
    </row>
    <row r="19" spans="1:6" x14ac:dyDescent="0.3">
      <c r="A19" s="1" t="s">
        <v>24</v>
      </c>
      <c r="B19" s="1" t="s">
        <v>6</v>
      </c>
      <c r="C19" s="1">
        <f t="shared" ca="1" si="2"/>
        <v>1219</v>
      </c>
      <c r="D19" s="1">
        <f t="shared" ca="1" si="3"/>
        <v>407</v>
      </c>
      <c r="E19" s="1">
        <f t="shared" ca="1" si="0"/>
        <v>506</v>
      </c>
      <c r="F19" s="3">
        <f t="shared" ca="1" si="1"/>
        <v>46263</v>
      </c>
    </row>
    <row r="20" spans="1:6" x14ac:dyDescent="0.3">
      <c r="A20" s="1" t="s">
        <v>24</v>
      </c>
      <c r="B20" s="1" t="s">
        <v>15</v>
      </c>
      <c r="C20" s="1">
        <f t="shared" ca="1" si="2"/>
        <v>1156</v>
      </c>
      <c r="D20" s="1">
        <f t="shared" ca="1" si="3"/>
        <v>836</v>
      </c>
      <c r="E20" s="1">
        <f t="shared" ref="E20:E52" ca="1" si="4">RANDBETWEEN(100,2500)</f>
        <v>1096</v>
      </c>
      <c r="F20" s="3">
        <f t="shared" ca="1" si="1"/>
        <v>46201</v>
      </c>
    </row>
    <row r="21" spans="1:6" x14ac:dyDescent="0.3">
      <c r="A21" s="1" t="s">
        <v>24</v>
      </c>
      <c r="B21" s="1" t="s">
        <v>11</v>
      </c>
      <c r="C21" s="1">
        <f t="shared" ca="1" si="2"/>
        <v>126</v>
      </c>
      <c r="D21" s="1">
        <f t="shared" ca="1" si="3"/>
        <v>120</v>
      </c>
      <c r="E21" s="1">
        <f t="shared" ca="1" si="4"/>
        <v>125</v>
      </c>
      <c r="F21" s="3">
        <f t="shared" ca="1" si="1"/>
        <v>46257</v>
      </c>
    </row>
    <row r="22" spans="1:6" x14ac:dyDescent="0.3">
      <c r="A22" s="1" t="s">
        <v>24</v>
      </c>
      <c r="B22" s="1" t="s">
        <v>18</v>
      </c>
      <c r="C22" s="1">
        <f t="shared" ca="1" si="2"/>
        <v>581</v>
      </c>
      <c r="D22" s="1">
        <f t="shared" ca="1" si="3"/>
        <v>300</v>
      </c>
      <c r="E22" s="1">
        <f t="shared" ca="1" si="4"/>
        <v>1076</v>
      </c>
      <c r="F22" s="3">
        <f t="shared" ca="1" si="1"/>
        <v>46118</v>
      </c>
    </row>
    <row r="23" spans="1:6" x14ac:dyDescent="0.3">
      <c r="A23" s="1" t="s">
        <v>24</v>
      </c>
      <c r="B23" s="1" t="s">
        <v>17</v>
      </c>
      <c r="C23" s="1">
        <f t="shared" ca="1" si="2"/>
        <v>1595</v>
      </c>
      <c r="D23" s="1">
        <f t="shared" ca="1" si="3"/>
        <v>1692</v>
      </c>
      <c r="E23" s="1">
        <f t="shared" ca="1" si="4"/>
        <v>2094</v>
      </c>
      <c r="F23" s="3">
        <f t="shared" ca="1" si="1"/>
        <v>46174</v>
      </c>
    </row>
    <row r="24" spans="1:6" x14ac:dyDescent="0.3">
      <c r="A24" s="1" t="s">
        <v>24</v>
      </c>
      <c r="B24" s="1" t="s">
        <v>19</v>
      </c>
      <c r="C24" s="1">
        <f t="shared" ca="1" si="2"/>
        <v>399</v>
      </c>
      <c r="D24" s="1">
        <f t="shared" ca="1" si="3"/>
        <v>239</v>
      </c>
      <c r="E24" s="1">
        <f t="shared" ca="1" si="4"/>
        <v>279</v>
      </c>
      <c r="F24" s="3">
        <f t="shared" ca="1" si="1"/>
        <v>46353</v>
      </c>
    </row>
    <row r="25" spans="1:6" x14ac:dyDescent="0.3">
      <c r="A25" s="1" t="s">
        <v>24</v>
      </c>
      <c r="B25" s="1" t="s">
        <v>20</v>
      </c>
      <c r="C25" s="1">
        <f t="shared" ca="1" si="2"/>
        <v>1702</v>
      </c>
      <c r="D25" s="1">
        <f t="shared" ca="1" si="3"/>
        <v>167</v>
      </c>
      <c r="E25" s="1">
        <f t="shared" ca="1" si="4"/>
        <v>281</v>
      </c>
      <c r="F25" s="3">
        <f t="shared" ca="1" si="1"/>
        <v>46219</v>
      </c>
    </row>
    <row r="26" spans="1:6" x14ac:dyDescent="0.3">
      <c r="A26" s="1" t="s">
        <v>24</v>
      </c>
      <c r="B26" s="1" t="s">
        <v>13</v>
      </c>
      <c r="C26" s="1">
        <f t="shared" ca="1" si="2"/>
        <v>1741</v>
      </c>
      <c r="D26" s="1">
        <f t="shared" ca="1" si="3"/>
        <v>392</v>
      </c>
      <c r="E26" s="1">
        <f t="shared" ca="1" si="4"/>
        <v>1761</v>
      </c>
      <c r="F26" s="3">
        <f t="shared" ca="1" si="1"/>
        <v>46269</v>
      </c>
    </row>
    <row r="27" spans="1:6" x14ac:dyDescent="0.3">
      <c r="A27" s="1" t="s">
        <v>24</v>
      </c>
      <c r="B27" s="1" t="s">
        <v>21</v>
      </c>
      <c r="C27" s="1">
        <f t="shared" ca="1" si="2"/>
        <v>967</v>
      </c>
      <c r="D27" s="1">
        <f t="shared" ca="1" si="3"/>
        <v>308</v>
      </c>
      <c r="E27" s="1">
        <f t="shared" ca="1" si="4"/>
        <v>630</v>
      </c>
      <c r="F27" s="3">
        <f t="shared" ca="1" si="1"/>
        <v>46023</v>
      </c>
    </row>
    <row r="28" spans="1:6" x14ac:dyDescent="0.3">
      <c r="A28" s="1" t="s">
        <v>24</v>
      </c>
      <c r="B28" s="1" t="s">
        <v>9</v>
      </c>
      <c r="C28" s="1">
        <f t="shared" ca="1" si="2"/>
        <v>1488</v>
      </c>
      <c r="D28" s="1">
        <f t="shared" ca="1" si="3"/>
        <v>973</v>
      </c>
      <c r="E28" s="1">
        <f t="shared" ca="1" si="4"/>
        <v>2240</v>
      </c>
      <c r="F28" s="3">
        <f t="shared" ca="1" si="1"/>
        <v>46190</v>
      </c>
    </row>
    <row r="29" spans="1:6" x14ac:dyDescent="0.3">
      <c r="A29" s="1" t="s">
        <v>24</v>
      </c>
      <c r="B29" s="1" t="s">
        <v>8</v>
      </c>
      <c r="C29" s="1">
        <f t="shared" ca="1" si="2"/>
        <v>2370</v>
      </c>
      <c r="D29" s="1">
        <f t="shared" ca="1" si="3"/>
        <v>274</v>
      </c>
      <c r="E29" s="1">
        <f t="shared" ca="1" si="4"/>
        <v>1061</v>
      </c>
      <c r="F29" s="3">
        <f t="shared" ca="1" si="1"/>
        <v>46063</v>
      </c>
    </row>
    <row r="30" spans="1:6" x14ac:dyDescent="0.3">
      <c r="A30" s="1" t="s">
        <v>24</v>
      </c>
      <c r="B30" s="1" t="s">
        <v>22</v>
      </c>
      <c r="C30" s="1">
        <f t="shared" ca="1" si="2"/>
        <v>150</v>
      </c>
      <c r="D30" s="1">
        <f t="shared" ca="1" si="3"/>
        <v>1190</v>
      </c>
      <c r="E30" s="1">
        <f t="shared" ca="1" si="4"/>
        <v>1912</v>
      </c>
      <c r="F30" s="3">
        <f t="shared" ca="1" si="1"/>
        <v>46283</v>
      </c>
    </row>
    <row r="31" spans="1:6" x14ac:dyDescent="0.3">
      <c r="A31" s="1" t="s">
        <v>24</v>
      </c>
      <c r="B31" s="1" t="s">
        <v>10</v>
      </c>
      <c r="C31" s="1">
        <f t="shared" ca="1" si="2"/>
        <v>370</v>
      </c>
      <c r="D31" s="1">
        <f t="shared" ca="1" si="3"/>
        <v>1458</v>
      </c>
      <c r="E31" s="1">
        <f t="shared" ca="1" si="4"/>
        <v>2399</v>
      </c>
      <c r="F31" s="3">
        <f t="shared" ca="1" si="1"/>
        <v>46066</v>
      </c>
    </row>
    <row r="32" spans="1:6" x14ac:dyDescent="0.3">
      <c r="A32" s="1" t="s">
        <v>24</v>
      </c>
      <c r="B32" s="1" t="s">
        <v>14</v>
      </c>
      <c r="C32" s="1">
        <f t="shared" ca="1" si="2"/>
        <v>1234</v>
      </c>
      <c r="D32" s="1">
        <f t="shared" ca="1" si="3"/>
        <v>160</v>
      </c>
      <c r="E32" s="1">
        <f t="shared" ca="1" si="4"/>
        <v>1156</v>
      </c>
      <c r="F32" s="3">
        <f t="shared" ca="1" si="1"/>
        <v>46365</v>
      </c>
    </row>
    <row r="33" spans="1:6" x14ac:dyDescent="0.3">
      <c r="A33" s="1" t="s">
        <v>24</v>
      </c>
      <c r="B33" s="1" t="s">
        <v>12</v>
      </c>
      <c r="C33" s="1">
        <f t="shared" ca="1" si="2"/>
        <v>1865</v>
      </c>
      <c r="D33" s="1">
        <f t="shared" ca="1" si="3"/>
        <v>346</v>
      </c>
      <c r="E33" s="1">
        <f t="shared" ca="1" si="4"/>
        <v>400</v>
      </c>
      <c r="F33" s="3">
        <f t="shared" ca="1" si="1"/>
        <v>46114</v>
      </c>
    </row>
    <row r="34" spans="1:6" x14ac:dyDescent="0.3">
      <c r="A34" s="1" t="s">
        <v>24</v>
      </c>
      <c r="B34" s="1" t="s">
        <v>16</v>
      </c>
      <c r="C34" s="1">
        <f t="shared" ca="1" si="2"/>
        <v>1786</v>
      </c>
      <c r="D34" s="1">
        <f t="shared" ca="1" si="3"/>
        <v>460</v>
      </c>
      <c r="E34" s="1">
        <f t="shared" ca="1" si="4"/>
        <v>1429</v>
      </c>
      <c r="F34" s="3">
        <f t="shared" ca="1" si="1"/>
        <v>46035</v>
      </c>
    </row>
    <row r="35" spans="1:6" x14ac:dyDescent="0.3">
      <c r="A35" s="1" t="s">
        <v>24</v>
      </c>
      <c r="B35" s="1" t="s">
        <v>7</v>
      </c>
      <c r="C35" s="1">
        <f t="shared" ca="1" si="2"/>
        <v>315</v>
      </c>
      <c r="D35" s="1">
        <f t="shared" ca="1" si="3"/>
        <v>156</v>
      </c>
      <c r="E35" s="1">
        <f t="shared" ca="1" si="4"/>
        <v>254</v>
      </c>
      <c r="F35" s="3">
        <f t="shared" ca="1" si="1"/>
        <v>46387</v>
      </c>
    </row>
    <row r="36" spans="1:6" x14ac:dyDescent="0.3">
      <c r="A36" s="1" t="s">
        <v>25</v>
      </c>
      <c r="B36" s="1" t="s">
        <v>6</v>
      </c>
      <c r="C36" s="1">
        <f t="shared" ca="1" si="2"/>
        <v>554</v>
      </c>
      <c r="D36" s="1">
        <f t="shared" ca="1" si="3"/>
        <v>713</v>
      </c>
      <c r="E36" s="1">
        <f t="shared" ca="1" si="4"/>
        <v>1562</v>
      </c>
      <c r="F36" s="3">
        <f t="shared" ca="1" si="1"/>
        <v>46274</v>
      </c>
    </row>
    <row r="37" spans="1:6" x14ac:dyDescent="0.3">
      <c r="A37" s="1" t="s">
        <v>25</v>
      </c>
      <c r="B37" s="1" t="s">
        <v>15</v>
      </c>
      <c r="C37" s="1">
        <f t="shared" ca="1" si="2"/>
        <v>1383</v>
      </c>
      <c r="D37" s="1">
        <f t="shared" ca="1" si="3"/>
        <v>1754</v>
      </c>
      <c r="E37" s="1">
        <f t="shared" ca="1" si="4"/>
        <v>2152</v>
      </c>
      <c r="F37" s="3">
        <f t="shared" ca="1" si="1"/>
        <v>46046</v>
      </c>
    </row>
    <row r="38" spans="1:6" x14ac:dyDescent="0.3">
      <c r="A38" s="1" t="s">
        <v>25</v>
      </c>
      <c r="B38" s="1" t="s">
        <v>11</v>
      </c>
      <c r="C38" s="1">
        <f t="shared" ca="1" si="2"/>
        <v>665</v>
      </c>
      <c r="D38" s="1">
        <f t="shared" ca="1" si="3"/>
        <v>468</v>
      </c>
      <c r="E38" s="1">
        <f t="shared" ca="1" si="4"/>
        <v>576</v>
      </c>
      <c r="F38" s="3">
        <f t="shared" ca="1" si="1"/>
        <v>46064</v>
      </c>
    </row>
    <row r="39" spans="1:6" x14ac:dyDescent="0.3">
      <c r="A39" s="1" t="s">
        <v>25</v>
      </c>
      <c r="B39" s="1" t="s">
        <v>18</v>
      </c>
      <c r="C39" s="1">
        <f t="shared" ca="1" si="2"/>
        <v>165</v>
      </c>
      <c r="D39" s="1">
        <f t="shared" ca="1" si="3"/>
        <v>383</v>
      </c>
      <c r="E39" s="1">
        <f t="shared" ca="1" si="4"/>
        <v>1364</v>
      </c>
      <c r="F39" s="3">
        <f t="shared" ca="1" si="1"/>
        <v>46083</v>
      </c>
    </row>
    <row r="40" spans="1:6" x14ac:dyDescent="0.3">
      <c r="A40" s="1" t="s">
        <v>25</v>
      </c>
      <c r="B40" s="1" t="s">
        <v>17</v>
      </c>
      <c r="C40" s="1">
        <f t="shared" ca="1" si="2"/>
        <v>1610</v>
      </c>
      <c r="D40" s="1">
        <f t="shared" ca="1" si="3"/>
        <v>239</v>
      </c>
      <c r="E40" s="1">
        <f t="shared" ca="1" si="4"/>
        <v>2328</v>
      </c>
      <c r="F40" s="3">
        <f t="shared" ca="1" si="1"/>
        <v>46269</v>
      </c>
    </row>
    <row r="41" spans="1:6" x14ac:dyDescent="0.3">
      <c r="A41" s="1" t="s">
        <v>25</v>
      </c>
      <c r="B41" s="1" t="s">
        <v>19</v>
      </c>
      <c r="C41" s="1">
        <f t="shared" ca="1" si="2"/>
        <v>341</v>
      </c>
      <c r="D41" s="1">
        <f t="shared" ca="1" si="3"/>
        <v>243</v>
      </c>
      <c r="E41" s="1">
        <f t="shared" ca="1" si="4"/>
        <v>261</v>
      </c>
      <c r="F41" s="3">
        <f t="shared" ca="1" si="1"/>
        <v>46181</v>
      </c>
    </row>
    <row r="42" spans="1:6" x14ac:dyDescent="0.3">
      <c r="A42" s="1" t="s">
        <v>25</v>
      </c>
      <c r="B42" s="1" t="s">
        <v>20</v>
      </c>
      <c r="C42" s="1">
        <f t="shared" ca="1" si="2"/>
        <v>1437</v>
      </c>
      <c r="D42" s="1">
        <f t="shared" ca="1" si="3"/>
        <v>404</v>
      </c>
      <c r="E42" s="1">
        <f t="shared" ca="1" si="4"/>
        <v>955</v>
      </c>
      <c r="F42" s="3">
        <f t="shared" ca="1" si="1"/>
        <v>46288</v>
      </c>
    </row>
    <row r="43" spans="1:6" x14ac:dyDescent="0.3">
      <c r="A43" s="1" t="s">
        <v>25</v>
      </c>
      <c r="B43" s="1" t="s">
        <v>13</v>
      </c>
      <c r="C43" s="1">
        <f t="shared" ca="1" si="2"/>
        <v>1260</v>
      </c>
      <c r="D43" s="1">
        <f t="shared" ca="1" si="3"/>
        <v>754</v>
      </c>
      <c r="E43" s="1">
        <f t="shared" ca="1" si="4"/>
        <v>1208</v>
      </c>
      <c r="F43" s="3">
        <f t="shared" ca="1" si="1"/>
        <v>46384</v>
      </c>
    </row>
    <row r="44" spans="1:6" x14ac:dyDescent="0.3">
      <c r="A44" s="1" t="s">
        <v>25</v>
      </c>
      <c r="B44" s="1" t="s">
        <v>21</v>
      </c>
      <c r="C44" s="1">
        <f t="shared" ca="1" si="2"/>
        <v>1408</v>
      </c>
      <c r="D44" s="1">
        <f t="shared" ca="1" si="3"/>
        <v>638</v>
      </c>
      <c r="E44" s="1">
        <f t="shared" ca="1" si="4"/>
        <v>866</v>
      </c>
      <c r="F44" s="3">
        <f t="shared" ca="1" si="1"/>
        <v>46163</v>
      </c>
    </row>
    <row r="45" spans="1:6" x14ac:dyDescent="0.3">
      <c r="A45" s="1" t="s">
        <v>25</v>
      </c>
      <c r="B45" s="1" t="s">
        <v>9</v>
      </c>
      <c r="C45" s="1">
        <f t="shared" ca="1" si="2"/>
        <v>1166</v>
      </c>
      <c r="D45" s="1">
        <f t="shared" ca="1" si="3"/>
        <v>207</v>
      </c>
      <c r="E45" s="1">
        <f t="shared" ca="1" si="4"/>
        <v>223</v>
      </c>
      <c r="F45" s="3">
        <f t="shared" ca="1" si="1"/>
        <v>46145</v>
      </c>
    </row>
    <row r="46" spans="1:6" x14ac:dyDescent="0.3">
      <c r="A46" s="1" t="s">
        <v>25</v>
      </c>
      <c r="B46" s="1" t="s">
        <v>8</v>
      </c>
      <c r="C46" s="1">
        <f t="shared" ca="1" si="2"/>
        <v>2095</v>
      </c>
      <c r="D46" s="1">
        <f t="shared" ca="1" si="3"/>
        <v>568</v>
      </c>
      <c r="E46" s="1">
        <f t="shared" ca="1" si="4"/>
        <v>652</v>
      </c>
      <c r="F46" s="3">
        <f t="shared" ca="1" si="1"/>
        <v>46303</v>
      </c>
    </row>
    <row r="47" spans="1:6" x14ac:dyDescent="0.3">
      <c r="A47" s="1" t="s">
        <v>25</v>
      </c>
      <c r="B47" s="1" t="s">
        <v>22</v>
      </c>
      <c r="C47" s="1">
        <f t="shared" ca="1" si="2"/>
        <v>910</v>
      </c>
      <c r="D47" s="1">
        <f t="shared" ca="1" si="3"/>
        <v>315</v>
      </c>
      <c r="E47" s="1">
        <f t="shared" ca="1" si="4"/>
        <v>578</v>
      </c>
      <c r="F47" s="3">
        <f t="shared" ca="1" si="1"/>
        <v>46024</v>
      </c>
    </row>
    <row r="48" spans="1:6" x14ac:dyDescent="0.3">
      <c r="A48" s="1" t="s">
        <v>25</v>
      </c>
      <c r="B48" s="1" t="s">
        <v>10</v>
      </c>
      <c r="C48" s="1">
        <f t="shared" ca="1" si="2"/>
        <v>707</v>
      </c>
      <c r="D48" s="1">
        <f t="shared" ca="1" si="3"/>
        <v>116</v>
      </c>
      <c r="E48" s="1">
        <f t="shared" ca="1" si="4"/>
        <v>149</v>
      </c>
      <c r="F48" s="3">
        <f t="shared" ca="1" si="1"/>
        <v>46208</v>
      </c>
    </row>
    <row r="49" spans="1:6" x14ac:dyDescent="0.3">
      <c r="A49" s="1" t="s">
        <v>25</v>
      </c>
      <c r="B49" s="1" t="s">
        <v>14</v>
      </c>
      <c r="C49" s="1">
        <f t="shared" ca="1" si="2"/>
        <v>1597</v>
      </c>
      <c r="D49" s="1">
        <f t="shared" ca="1" si="3"/>
        <v>1466</v>
      </c>
      <c r="E49" s="1">
        <f t="shared" ca="1" si="4"/>
        <v>2254</v>
      </c>
      <c r="F49" s="3">
        <f t="shared" ca="1" si="1"/>
        <v>46234</v>
      </c>
    </row>
    <row r="50" spans="1:6" x14ac:dyDescent="0.3">
      <c r="A50" s="1" t="s">
        <v>25</v>
      </c>
      <c r="B50" s="1" t="s">
        <v>12</v>
      </c>
      <c r="C50" s="1">
        <f t="shared" ca="1" si="2"/>
        <v>2448</v>
      </c>
      <c r="D50" s="1">
        <f t="shared" ca="1" si="3"/>
        <v>1078</v>
      </c>
      <c r="E50" s="1">
        <f t="shared" ca="1" si="4"/>
        <v>2323</v>
      </c>
      <c r="F50" s="3">
        <f t="shared" ca="1" si="1"/>
        <v>46243</v>
      </c>
    </row>
    <row r="51" spans="1:6" x14ac:dyDescent="0.3">
      <c r="A51" s="1" t="s">
        <v>25</v>
      </c>
      <c r="B51" s="1" t="s">
        <v>16</v>
      </c>
      <c r="C51" s="1">
        <f t="shared" ca="1" si="2"/>
        <v>2234</v>
      </c>
      <c r="D51" s="1">
        <f t="shared" ca="1" si="3"/>
        <v>1069</v>
      </c>
      <c r="E51" s="1">
        <f t="shared" ca="1" si="4"/>
        <v>1155</v>
      </c>
      <c r="F51" s="3">
        <f t="shared" ca="1" si="1"/>
        <v>46193</v>
      </c>
    </row>
    <row r="52" spans="1:6" x14ac:dyDescent="0.3">
      <c r="A52" s="1" t="s">
        <v>25</v>
      </c>
      <c r="B52" s="1" t="s">
        <v>7</v>
      </c>
      <c r="C52" s="1">
        <f t="shared" ca="1" si="2"/>
        <v>151</v>
      </c>
      <c r="D52" s="1">
        <f t="shared" ca="1" si="3"/>
        <v>708</v>
      </c>
      <c r="E52" s="1">
        <f t="shared" ca="1" si="4"/>
        <v>1111</v>
      </c>
      <c r="F52" s="3">
        <f t="shared" ca="1" si="1"/>
        <v>46336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Alimentation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TRANCHANT Kellian</cp:lastModifiedBy>
  <dcterms:created xsi:type="dcterms:W3CDTF">2026-09-17T12:49:25Z</dcterms:created>
  <dcterms:modified xsi:type="dcterms:W3CDTF">2026-09-18T08:43:53Z</dcterms:modified>
</cp:coreProperties>
</file>