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EMECI\COURS\M2PID 2\Lean Management\Dashboard\PilotageH_autonome\PilotageH_autonome\public\"/>
    </mc:Choice>
  </mc:AlternateContent>
  <xr:revisionPtr revIDLastSave="0" documentId="13_ncr:1_{9E213E0A-B1D0-4267-B1DF-6A1DBCECF8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imentation" sheetId="1" r:id="rId1"/>
  </sheets>
  <calcPr calcId="191029"/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4" i="1"/>
  <c r="E5" i="1"/>
  <c r="E6" i="1"/>
  <c r="D6" i="1" s="1"/>
  <c r="E7" i="1"/>
  <c r="E8" i="1"/>
  <c r="E9" i="1"/>
  <c r="E10" i="1"/>
  <c r="D10" i="1" s="1"/>
  <c r="E11" i="1"/>
  <c r="D11" i="1" s="1"/>
  <c r="E12" i="1"/>
  <c r="D12" i="1" s="1"/>
  <c r="E13" i="1"/>
  <c r="D14" i="1"/>
  <c r="E14" i="1"/>
  <c r="E15" i="1"/>
  <c r="D15" i="1" s="1"/>
  <c r="D16" i="1"/>
  <c r="E16" i="1"/>
  <c r="E17" i="1"/>
  <c r="E18" i="1"/>
  <c r="D18" i="1" s="1"/>
  <c r="E19" i="1"/>
  <c r="E20" i="1"/>
  <c r="D20" i="1" s="1"/>
  <c r="D21" i="1"/>
  <c r="E21" i="1"/>
  <c r="E22" i="1"/>
  <c r="E23" i="1"/>
  <c r="D23" i="1" s="1"/>
  <c r="E24" i="1"/>
  <c r="D24" i="1" s="1"/>
  <c r="E25" i="1"/>
  <c r="D25" i="1" s="1"/>
  <c r="E26" i="1"/>
  <c r="E27" i="1"/>
  <c r="D27" i="1" s="1"/>
  <c r="E28" i="1"/>
  <c r="D28" i="1" s="1"/>
  <c r="D29" i="1"/>
  <c r="E29" i="1"/>
  <c r="E30" i="1"/>
  <c r="D30" i="1" s="1"/>
  <c r="E31" i="1"/>
  <c r="D31" i="1" s="1"/>
  <c r="E32" i="1"/>
  <c r="E33" i="1"/>
  <c r="E34" i="1"/>
  <c r="D34" i="1" s="1"/>
  <c r="E35" i="1"/>
  <c r="E36" i="1"/>
  <c r="D36" i="1" s="1"/>
  <c r="D37" i="1"/>
  <c r="E37" i="1"/>
  <c r="E38" i="1"/>
  <c r="D38" i="1" s="1"/>
  <c r="E39" i="1"/>
  <c r="E40" i="1"/>
  <c r="D40" i="1" s="1"/>
  <c r="E41" i="1"/>
  <c r="E42" i="1"/>
  <c r="D42" i="1" s="1"/>
  <c r="E43" i="1"/>
  <c r="D43" i="1" s="1"/>
  <c r="E44" i="1"/>
  <c r="D44" i="1" s="1"/>
  <c r="E45" i="1"/>
  <c r="D45" i="1" s="1"/>
  <c r="E46" i="1"/>
  <c r="D46" i="1" s="1"/>
  <c r="D47" i="1"/>
  <c r="E47" i="1"/>
  <c r="E48" i="1"/>
  <c r="E49" i="1"/>
  <c r="D49" i="1" s="1"/>
  <c r="D50" i="1"/>
  <c r="E50" i="1"/>
  <c r="E51" i="1"/>
  <c r="D51" i="1" s="1"/>
  <c r="E5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3" i="1"/>
  <c r="F2" i="1"/>
  <c r="E4" i="1"/>
  <c r="D41" i="1" l="1"/>
  <c r="D32" i="1"/>
  <c r="D19" i="1"/>
  <c r="D48" i="1"/>
  <c r="D35" i="1"/>
  <c r="D22" i="1"/>
  <c r="D9" i="1"/>
  <c r="D52" i="1"/>
  <c r="D39" i="1"/>
  <c r="D26" i="1"/>
  <c r="D13" i="1"/>
  <c r="D17" i="1"/>
  <c r="D33" i="1"/>
  <c r="D8" i="1"/>
  <c r="D7" i="1"/>
  <c r="D5" i="1"/>
  <c r="D4" i="1"/>
</calcChain>
</file>

<file path=xl/sharedStrings.xml><?xml version="1.0" encoding="utf-8"?>
<sst xmlns="http://schemas.openxmlformats.org/spreadsheetml/2006/main" count="108" uniqueCount="26">
  <si>
    <t>Affaire</t>
  </si>
  <si>
    <t>Métier</t>
  </si>
  <si>
    <t>Heures consommées</t>
  </si>
  <si>
    <t>Budget à date</t>
  </si>
  <si>
    <t>Budget alloué</t>
  </si>
  <si>
    <t>Date</t>
  </si>
  <si>
    <t>Mécanique</t>
  </si>
  <si>
    <t>Essais</t>
  </si>
  <si>
    <t>Montage Conv</t>
  </si>
  <si>
    <t>Montage Nuc</t>
  </si>
  <si>
    <t>Architecte</t>
  </si>
  <si>
    <t>Mesure</t>
  </si>
  <si>
    <t>Transverse</t>
  </si>
  <si>
    <t>Indus Conv</t>
  </si>
  <si>
    <t>Pilotage</t>
  </si>
  <si>
    <t>Fluide</t>
  </si>
  <si>
    <t>MERI</t>
  </si>
  <si>
    <t>Contrôle commande</t>
  </si>
  <si>
    <t>Electricité</t>
  </si>
  <si>
    <t>Activité spécifique</t>
  </si>
  <si>
    <t>Indus Nuc</t>
  </si>
  <si>
    <t>Indus Elec</t>
  </si>
  <si>
    <t>Montage Elec</t>
  </si>
  <si>
    <t>BPRS3G</t>
  </si>
  <si>
    <t>BTUR</t>
  </si>
  <si>
    <t>TT1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</si>
</sst>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H7" sqref="H7"/>
    </sheetView>
  </sheetViews>
  <sheetFormatPr baseColWidth="10" defaultColWidth="8.88671875" defaultRowHeight="14.4" x14ac:dyDescent="0.3"/>
  <cols>
    <col min="1" max="1" width="7.33203125" bestFit="1" customWidth="1"/>
    <col min="2" max="2" width="17.77734375" bestFit="1" customWidth="1"/>
    <col min="3" max="3" width="20.33203125" bestFit="1" customWidth="1"/>
    <col min="4" max="4" width="14" bestFit="1" customWidth="1"/>
    <col min="5" max="5" width="13.88671875" bestFit="1" customWidth="1"/>
    <col min="6" max="6" width="10.5546875" bestFit="1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23</v>
      </c>
      <c r="B2" s="1" t="s">
        <v>6</v>
      </c>
      <c r="C2" s="1">
        <v>120</v>
      </c>
      <c r="D2" s="1">
        <v>60</v>
      </c>
      <c r="E2" s="1">
        <v>300</v>
      </c>
      <c r="F2" s="3">
        <f ca="1">RANDBETWEEN(DATE(2026,1,1),DATE(2026,12,31))</f>
        <v>46361</v>
      </c>
    </row>
    <row r="3" spans="1:6" x14ac:dyDescent="0.3">
      <c r="A3" s="1" t="s">
        <v>23</v>
      </c>
      <c r="B3" s="1" t="s">
        <v>15</v>
      </c>
      <c r="C3" s="1">
        <v>80</v>
      </c>
      <c r="D3" s="1">
        <v>70</v>
      </c>
      <c r="E3" s="1">
        <v>180</v>
      </c>
      <c r="F3" s="3">
        <f ca="1">RANDBETWEEN(DATE(2026,1,1),DATE(2026,12,31))</f>
        <v>46177</v>
      </c>
    </row>
    <row r="4" spans="1:6" x14ac:dyDescent="0.3">
      <c r="A4" s="1" t="s">
        <v>23</v>
      </c>
      <c r="B4" s="1" t="s">
        <v>11</v>
      </c>
      <c r="C4" s="1">
        <f ca="1">RANDBETWEEN(100,2500)</f>
        <v>1536</v>
      </c>
      <c r="D4" s="1">
        <f ca="1">RANDBETWEEN(100,E4)</f>
        <v>2445</v>
      </c>
      <c r="E4" s="1">
        <f t="shared" ref="D4:E19" ca="1" si="0">RANDBETWEEN(100,2500)</f>
        <v>2494</v>
      </c>
      <c r="F4" s="3">
        <f t="shared" ref="F4:F52" ca="1" si="1">RANDBETWEEN(DATE(2026,1,1),DATE(2026,12,31))</f>
        <v>46178</v>
      </c>
    </row>
    <row r="5" spans="1:6" x14ac:dyDescent="0.3">
      <c r="A5" s="1" t="s">
        <v>23</v>
      </c>
      <c r="B5" s="1" t="s">
        <v>18</v>
      </c>
      <c r="C5" s="1">
        <f t="shared" ref="C5:C52" ca="1" si="2">RANDBETWEEN(100,2500)</f>
        <v>885</v>
      </c>
      <c r="D5" s="1">
        <f t="shared" ref="D5:D52" ca="1" si="3">RANDBETWEEN(100,E5)</f>
        <v>514</v>
      </c>
      <c r="E5" s="1">
        <f t="shared" ca="1" si="0"/>
        <v>673</v>
      </c>
      <c r="F5" s="3">
        <f t="shared" ca="1" si="1"/>
        <v>46029</v>
      </c>
    </row>
    <row r="6" spans="1:6" x14ac:dyDescent="0.3">
      <c r="A6" s="1" t="s">
        <v>23</v>
      </c>
      <c r="B6" s="1" t="s">
        <v>17</v>
      </c>
      <c r="C6" s="1">
        <f t="shared" ca="1" si="2"/>
        <v>1017</v>
      </c>
      <c r="D6" s="1">
        <f t="shared" ca="1" si="3"/>
        <v>609</v>
      </c>
      <c r="E6" s="1">
        <f t="shared" ca="1" si="0"/>
        <v>2332</v>
      </c>
      <c r="F6" s="3">
        <f t="shared" ca="1" si="1"/>
        <v>46312</v>
      </c>
    </row>
    <row r="7" spans="1:6" x14ac:dyDescent="0.3">
      <c r="A7" s="1" t="s">
        <v>23</v>
      </c>
      <c r="B7" s="1" t="s">
        <v>19</v>
      </c>
      <c r="C7" s="1">
        <f t="shared" ca="1" si="2"/>
        <v>2075</v>
      </c>
      <c r="D7" s="1">
        <f t="shared" ca="1" si="3"/>
        <v>1164</v>
      </c>
      <c r="E7" s="1">
        <f t="shared" ca="1" si="0"/>
        <v>1596</v>
      </c>
      <c r="F7" s="3">
        <f t="shared" ca="1" si="1"/>
        <v>46227</v>
      </c>
    </row>
    <row r="8" spans="1:6" x14ac:dyDescent="0.3">
      <c r="A8" s="1" t="s">
        <v>23</v>
      </c>
      <c r="B8" s="1" t="s">
        <v>20</v>
      </c>
      <c r="C8" s="1">
        <f t="shared" ca="1" si="2"/>
        <v>383</v>
      </c>
      <c r="D8" s="1">
        <f t="shared" ca="1" si="3"/>
        <v>285</v>
      </c>
      <c r="E8" s="1">
        <f t="shared" ca="1" si="0"/>
        <v>1057</v>
      </c>
      <c r="F8" s="3">
        <f t="shared" ca="1" si="1"/>
        <v>46250</v>
      </c>
    </row>
    <row r="9" spans="1:6" x14ac:dyDescent="0.3">
      <c r="A9" s="1" t="s">
        <v>23</v>
      </c>
      <c r="B9" s="1" t="s">
        <v>13</v>
      </c>
      <c r="C9" s="1">
        <f t="shared" ca="1" si="2"/>
        <v>1585</v>
      </c>
      <c r="D9" s="1">
        <f t="shared" ca="1" si="3"/>
        <v>1761</v>
      </c>
      <c r="E9" s="1">
        <f t="shared" ca="1" si="0"/>
        <v>1931</v>
      </c>
      <c r="F9" s="3">
        <f t="shared" ca="1" si="1"/>
        <v>46072</v>
      </c>
    </row>
    <row r="10" spans="1:6" x14ac:dyDescent="0.3">
      <c r="A10" s="1" t="s">
        <v>23</v>
      </c>
      <c r="B10" s="1" t="s">
        <v>21</v>
      </c>
      <c r="C10" s="1">
        <f t="shared" ca="1" si="2"/>
        <v>2350</v>
      </c>
      <c r="D10" s="1">
        <f t="shared" ca="1" si="3"/>
        <v>734</v>
      </c>
      <c r="E10" s="1">
        <f t="shared" ca="1" si="0"/>
        <v>1142</v>
      </c>
      <c r="F10" s="3">
        <f t="shared" ca="1" si="1"/>
        <v>46056</v>
      </c>
    </row>
    <row r="11" spans="1:6" x14ac:dyDescent="0.3">
      <c r="A11" s="1" t="s">
        <v>23</v>
      </c>
      <c r="B11" s="1" t="s">
        <v>9</v>
      </c>
      <c r="C11" s="1">
        <f t="shared" ca="1" si="2"/>
        <v>846</v>
      </c>
      <c r="D11" s="1">
        <f t="shared" ca="1" si="3"/>
        <v>134</v>
      </c>
      <c r="E11" s="1">
        <f t="shared" ca="1" si="0"/>
        <v>220</v>
      </c>
      <c r="F11" s="3">
        <f t="shared" ca="1" si="1"/>
        <v>46144</v>
      </c>
    </row>
    <row r="12" spans="1:6" x14ac:dyDescent="0.3">
      <c r="A12" s="1" t="s">
        <v>23</v>
      </c>
      <c r="B12" s="1" t="s">
        <v>8</v>
      </c>
      <c r="C12" s="1">
        <f t="shared" ca="1" si="2"/>
        <v>1041</v>
      </c>
      <c r="D12" s="1">
        <f t="shared" ca="1" si="3"/>
        <v>445</v>
      </c>
      <c r="E12" s="1">
        <f t="shared" ca="1" si="0"/>
        <v>686</v>
      </c>
      <c r="F12" s="3">
        <f t="shared" ca="1" si="1"/>
        <v>46372</v>
      </c>
    </row>
    <row r="13" spans="1:6" x14ac:dyDescent="0.3">
      <c r="A13" s="1" t="s">
        <v>23</v>
      </c>
      <c r="B13" s="1" t="s">
        <v>22</v>
      </c>
      <c r="C13" s="1">
        <f t="shared" ca="1" si="2"/>
        <v>791</v>
      </c>
      <c r="D13" s="1">
        <f t="shared" ca="1" si="3"/>
        <v>1293</v>
      </c>
      <c r="E13" s="1">
        <f t="shared" ca="1" si="0"/>
        <v>1883</v>
      </c>
      <c r="F13" s="3">
        <f t="shared" ca="1" si="1"/>
        <v>46114</v>
      </c>
    </row>
    <row r="14" spans="1:6" x14ac:dyDescent="0.3">
      <c r="A14" s="1" t="s">
        <v>23</v>
      </c>
      <c r="B14" s="1" t="s">
        <v>10</v>
      </c>
      <c r="C14" s="1">
        <f t="shared" ca="1" si="2"/>
        <v>239</v>
      </c>
      <c r="D14" s="1">
        <f t="shared" ca="1" si="3"/>
        <v>639</v>
      </c>
      <c r="E14" s="1">
        <f t="shared" ca="1" si="0"/>
        <v>770</v>
      </c>
      <c r="F14" s="3">
        <f t="shared" ca="1" si="1"/>
        <v>46298</v>
      </c>
    </row>
    <row r="15" spans="1:6" x14ac:dyDescent="0.3">
      <c r="A15" s="1" t="s">
        <v>23</v>
      </c>
      <c r="B15" s="1" t="s">
        <v>14</v>
      </c>
      <c r="C15" s="1">
        <f t="shared" ca="1" si="2"/>
        <v>2310</v>
      </c>
      <c r="D15" s="1">
        <f t="shared" ca="1" si="3"/>
        <v>858</v>
      </c>
      <c r="E15" s="1">
        <f t="shared" ca="1" si="0"/>
        <v>1287</v>
      </c>
      <c r="F15" s="3">
        <f t="shared" ca="1" si="1"/>
        <v>46386</v>
      </c>
    </row>
    <row r="16" spans="1:6" x14ac:dyDescent="0.3">
      <c r="A16" s="1" t="s">
        <v>23</v>
      </c>
      <c r="B16" s="1" t="s">
        <v>12</v>
      </c>
      <c r="C16" s="1">
        <f t="shared" ca="1" si="2"/>
        <v>1978</v>
      </c>
      <c r="D16" s="1">
        <f t="shared" ca="1" si="3"/>
        <v>207</v>
      </c>
      <c r="E16" s="1">
        <f t="shared" ca="1" si="0"/>
        <v>617</v>
      </c>
      <c r="F16" s="3">
        <f t="shared" ca="1" si="1"/>
        <v>46160</v>
      </c>
    </row>
    <row r="17" spans="1:6" x14ac:dyDescent="0.3">
      <c r="A17" s="1" t="s">
        <v>23</v>
      </c>
      <c r="B17" s="1" t="s">
        <v>16</v>
      </c>
      <c r="C17" s="1">
        <f t="shared" ca="1" si="2"/>
        <v>2460</v>
      </c>
      <c r="D17" s="1">
        <f t="shared" ca="1" si="3"/>
        <v>1357</v>
      </c>
      <c r="E17" s="1">
        <f t="shared" ca="1" si="0"/>
        <v>2352</v>
      </c>
      <c r="F17" s="3">
        <f t="shared" ca="1" si="1"/>
        <v>46187</v>
      </c>
    </row>
    <row r="18" spans="1:6" x14ac:dyDescent="0.3">
      <c r="A18" s="1" t="s">
        <v>23</v>
      </c>
      <c r="B18" s="1" t="s">
        <v>7</v>
      </c>
      <c r="C18" s="1">
        <f t="shared" ca="1" si="2"/>
        <v>188</v>
      </c>
      <c r="D18" s="1">
        <f t="shared" ca="1" si="3"/>
        <v>1614</v>
      </c>
      <c r="E18" s="1">
        <f t="shared" ca="1" si="0"/>
        <v>1699</v>
      </c>
      <c r="F18" s="3">
        <f t="shared" ca="1" si="1"/>
        <v>46190</v>
      </c>
    </row>
    <row r="19" spans="1:6" x14ac:dyDescent="0.3">
      <c r="A19" s="1" t="s">
        <v>24</v>
      </c>
      <c r="B19" s="1" t="s">
        <v>6</v>
      </c>
      <c r="C19" s="1">
        <f t="shared" ca="1" si="2"/>
        <v>228</v>
      </c>
      <c r="D19" s="1">
        <f t="shared" ca="1" si="3"/>
        <v>1739</v>
      </c>
      <c r="E19" s="1">
        <f t="shared" ca="1" si="0"/>
        <v>1789</v>
      </c>
      <c r="F19" s="3">
        <f t="shared" ca="1" si="1"/>
        <v>46325</v>
      </c>
    </row>
    <row r="20" spans="1:6" x14ac:dyDescent="0.3">
      <c r="A20" s="1" t="s">
        <v>24</v>
      </c>
      <c r="B20" s="1" t="s">
        <v>15</v>
      </c>
      <c r="C20" s="1">
        <f t="shared" ca="1" si="2"/>
        <v>478</v>
      </c>
      <c r="D20" s="1">
        <f t="shared" ca="1" si="3"/>
        <v>131</v>
      </c>
      <c r="E20" s="1">
        <f t="shared" ref="E20:E52" ca="1" si="4">RANDBETWEEN(100,2500)</f>
        <v>1215</v>
      </c>
      <c r="F20" s="3">
        <f t="shared" ca="1" si="1"/>
        <v>46344</v>
      </c>
    </row>
    <row r="21" spans="1:6" x14ac:dyDescent="0.3">
      <c r="A21" s="1" t="s">
        <v>24</v>
      </c>
      <c r="B21" s="1" t="s">
        <v>11</v>
      </c>
      <c r="C21" s="1">
        <f t="shared" ca="1" si="2"/>
        <v>1881</v>
      </c>
      <c r="D21" s="1">
        <f t="shared" ca="1" si="3"/>
        <v>266</v>
      </c>
      <c r="E21" s="1">
        <f t="shared" ca="1" si="4"/>
        <v>1057</v>
      </c>
      <c r="F21" s="3">
        <f t="shared" ca="1" si="1"/>
        <v>46362</v>
      </c>
    </row>
    <row r="22" spans="1:6" x14ac:dyDescent="0.3">
      <c r="A22" s="1" t="s">
        <v>24</v>
      </c>
      <c r="B22" s="1" t="s">
        <v>18</v>
      </c>
      <c r="C22" s="1">
        <f t="shared" ca="1" si="2"/>
        <v>1630</v>
      </c>
      <c r="D22" s="1">
        <f t="shared" ca="1" si="3"/>
        <v>959</v>
      </c>
      <c r="E22" s="1">
        <f t="shared" ca="1" si="4"/>
        <v>1550</v>
      </c>
      <c r="F22" s="3">
        <f t="shared" ca="1" si="1"/>
        <v>46061</v>
      </c>
    </row>
    <row r="23" spans="1:6" x14ac:dyDescent="0.3">
      <c r="A23" s="1" t="s">
        <v>24</v>
      </c>
      <c r="B23" s="1" t="s">
        <v>17</v>
      </c>
      <c r="C23" s="1">
        <f t="shared" ca="1" si="2"/>
        <v>1489</v>
      </c>
      <c r="D23" s="1">
        <f t="shared" ca="1" si="3"/>
        <v>814</v>
      </c>
      <c r="E23" s="1">
        <f t="shared" ca="1" si="4"/>
        <v>2256</v>
      </c>
      <c r="F23" s="3">
        <f t="shared" ca="1" si="1"/>
        <v>46077</v>
      </c>
    </row>
    <row r="24" spans="1:6" x14ac:dyDescent="0.3">
      <c r="A24" s="1" t="s">
        <v>24</v>
      </c>
      <c r="B24" s="1" t="s">
        <v>19</v>
      </c>
      <c r="C24" s="1">
        <f t="shared" ca="1" si="2"/>
        <v>612</v>
      </c>
      <c r="D24" s="1">
        <f t="shared" ca="1" si="3"/>
        <v>890</v>
      </c>
      <c r="E24" s="1">
        <f t="shared" ca="1" si="4"/>
        <v>976</v>
      </c>
      <c r="F24" s="3">
        <f t="shared" ca="1" si="1"/>
        <v>46216</v>
      </c>
    </row>
    <row r="25" spans="1:6" x14ac:dyDescent="0.3">
      <c r="A25" s="1" t="s">
        <v>24</v>
      </c>
      <c r="B25" s="1" t="s">
        <v>20</v>
      </c>
      <c r="C25" s="1">
        <f t="shared" ca="1" si="2"/>
        <v>315</v>
      </c>
      <c r="D25" s="1">
        <f t="shared" ca="1" si="3"/>
        <v>550</v>
      </c>
      <c r="E25" s="1">
        <f t="shared" ca="1" si="4"/>
        <v>672</v>
      </c>
      <c r="F25" s="3">
        <f t="shared" ca="1" si="1"/>
        <v>46106</v>
      </c>
    </row>
    <row r="26" spans="1:6" x14ac:dyDescent="0.3">
      <c r="A26" s="1" t="s">
        <v>24</v>
      </c>
      <c r="B26" s="1" t="s">
        <v>13</v>
      </c>
      <c r="C26" s="1">
        <f t="shared" ca="1" si="2"/>
        <v>1237</v>
      </c>
      <c r="D26" s="1">
        <f t="shared" ca="1" si="3"/>
        <v>110</v>
      </c>
      <c r="E26" s="1">
        <f t="shared" ca="1" si="4"/>
        <v>613</v>
      </c>
      <c r="F26" s="3">
        <f t="shared" ca="1" si="1"/>
        <v>46151</v>
      </c>
    </row>
    <row r="27" spans="1:6" x14ac:dyDescent="0.3">
      <c r="A27" s="1" t="s">
        <v>24</v>
      </c>
      <c r="B27" s="1" t="s">
        <v>21</v>
      </c>
      <c r="C27" s="1">
        <f t="shared" ca="1" si="2"/>
        <v>1255</v>
      </c>
      <c r="D27" s="1">
        <f t="shared" ca="1" si="3"/>
        <v>956</v>
      </c>
      <c r="E27" s="1">
        <f t="shared" ca="1" si="4"/>
        <v>1564</v>
      </c>
      <c r="F27" s="3">
        <f t="shared" ca="1" si="1"/>
        <v>46038</v>
      </c>
    </row>
    <row r="28" spans="1:6" x14ac:dyDescent="0.3">
      <c r="A28" s="1" t="s">
        <v>24</v>
      </c>
      <c r="B28" s="1" t="s">
        <v>9</v>
      </c>
      <c r="C28" s="1">
        <f t="shared" ca="1" si="2"/>
        <v>1481</v>
      </c>
      <c r="D28" s="1">
        <f t="shared" ca="1" si="3"/>
        <v>528</v>
      </c>
      <c r="E28" s="1">
        <f t="shared" ca="1" si="4"/>
        <v>1169</v>
      </c>
      <c r="F28" s="3">
        <f t="shared" ca="1" si="1"/>
        <v>46138</v>
      </c>
    </row>
    <row r="29" spans="1:6" x14ac:dyDescent="0.3">
      <c r="A29" s="1" t="s">
        <v>24</v>
      </c>
      <c r="B29" s="1" t="s">
        <v>8</v>
      </c>
      <c r="C29" s="1">
        <f t="shared" ca="1" si="2"/>
        <v>1865</v>
      </c>
      <c r="D29" s="1">
        <f t="shared" ca="1" si="3"/>
        <v>1903</v>
      </c>
      <c r="E29" s="1">
        <f t="shared" ca="1" si="4"/>
        <v>1957</v>
      </c>
      <c r="F29" s="3">
        <f t="shared" ca="1" si="1"/>
        <v>46191</v>
      </c>
    </row>
    <row r="30" spans="1:6" x14ac:dyDescent="0.3">
      <c r="A30" s="1" t="s">
        <v>24</v>
      </c>
      <c r="B30" s="1" t="s">
        <v>22</v>
      </c>
      <c r="C30" s="1">
        <f t="shared" ca="1" si="2"/>
        <v>1008</v>
      </c>
      <c r="D30" s="1">
        <f t="shared" ca="1" si="3"/>
        <v>663</v>
      </c>
      <c r="E30" s="1">
        <f t="shared" ca="1" si="4"/>
        <v>1281</v>
      </c>
      <c r="F30" s="3">
        <f t="shared" ca="1" si="1"/>
        <v>46369</v>
      </c>
    </row>
    <row r="31" spans="1:6" x14ac:dyDescent="0.3">
      <c r="A31" s="1" t="s">
        <v>24</v>
      </c>
      <c r="B31" s="1" t="s">
        <v>10</v>
      </c>
      <c r="C31" s="1">
        <f t="shared" ca="1" si="2"/>
        <v>1876</v>
      </c>
      <c r="D31" s="1">
        <f t="shared" ca="1" si="3"/>
        <v>935</v>
      </c>
      <c r="E31" s="1">
        <f t="shared" ca="1" si="4"/>
        <v>1007</v>
      </c>
      <c r="F31" s="3">
        <f t="shared" ca="1" si="1"/>
        <v>46263</v>
      </c>
    </row>
    <row r="32" spans="1:6" x14ac:dyDescent="0.3">
      <c r="A32" s="1" t="s">
        <v>24</v>
      </c>
      <c r="B32" s="1" t="s">
        <v>14</v>
      </c>
      <c r="C32" s="1">
        <f t="shared" ca="1" si="2"/>
        <v>470</v>
      </c>
      <c r="D32" s="1">
        <f t="shared" ca="1" si="3"/>
        <v>168</v>
      </c>
      <c r="E32" s="1">
        <f t="shared" ca="1" si="4"/>
        <v>573</v>
      </c>
      <c r="F32" s="3">
        <f t="shared" ca="1" si="1"/>
        <v>46318</v>
      </c>
    </row>
    <row r="33" spans="1:6" x14ac:dyDescent="0.3">
      <c r="A33" s="1" t="s">
        <v>24</v>
      </c>
      <c r="B33" s="1" t="s">
        <v>12</v>
      </c>
      <c r="C33" s="1">
        <f t="shared" ca="1" si="2"/>
        <v>483</v>
      </c>
      <c r="D33" s="1">
        <f t="shared" ca="1" si="3"/>
        <v>316</v>
      </c>
      <c r="E33" s="1">
        <f t="shared" ca="1" si="4"/>
        <v>1806</v>
      </c>
      <c r="F33" s="3">
        <f t="shared" ca="1" si="1"/>
        <v>46077</v>
      </c>
    </row>
    <row r="34" spans="1:6" x14ac:dyDescent="0.3">
      <c r="A34" s="1" t="s">
        <v>24</v>
      </c>
      <c r="B34" s="1" t="s">
        <v>16</v>
      </c>
      <c r="C34" s="1">
        <f t="shared" ca="1" si="2"/>
        <v>999</v>
      </c>
      <c r="D34" s="1">
        <f t="shared" ca="1" si="3"/>
        <v>111</v>
      </c>
      <c r="E34" s="1">
        <f t="shared" ca="1" si="4"/>
        <v>868</v>
      </c>
      <c r="F34" s="3">
        <f t="shared" ca="1" si="1"/>
        <v>46332</v>
      </c>
    </row>
    <row r="35" spans="1:6" x14ac:dyDescent="0.3">
      <c r="A35" s="1" t="s">
        <v>24</v>
      </c>
      <c r="B35" s="1" t="s">
        <v>7</v>
      </c>
      <c r="C35" s="1">
        <f t="shared" ca="1" si="2"/>
        <v>346</v>
      </c>
      <c r="D35" s="1">
        <f t="shared" ca="1" si="3"/>
        <v>1204</v>
      </c>
      <c r="E35" s="1">
        <f t="shared" ca="1" si="4"/>
        <v>1604</v>
      </c>
      <c r="F35" s="3">
        <f t="shared" ca="1" si="1"/>
        <v>46346</v>
      </c>
    </row>
    <row r="36" spans="1:6" x14ac:dyDescent="0.3">
      <c r="A36" s="1" t="s">
        <v>25</v>
      </c>
      <c r="B36" s="1" t="s">
        <v>6</v>
      </c>
      <c r="C36" s="1">
        <f t="shared" ca="1" si="2"/>
        <v>311</v>
      </c>
      <c r="D36" s="1">
        <f t="shared" ca="1" si="3"/>
        <v>1319</v>
      </c>
      <c r="E36" s="1">
        <f t="shared" ca="1" si="4"/>
        <v>1430</v>
      </c>
      <c r="F36" s="3">
        <f t="shared" ca="1" si="1"/>
        <v>46328</v>
      </c>
    </row>
    <row r="37" spans="1:6" x14ac:dyDescent="0.3">
      <c r="A37" s="1" t="s">
        <v>25</v>
      </c>
      <c r="B37" s="1" t="s">
        <v>15</v>
      </c>
      <c r="C37" s="1">
        <f t="shared" ca="1" si="2"/>
        <v>1688</v>
      </c>
      <c r="D37" s="1">
        <f t="shared" ca="1" si="3"/>
        <v>115</v>
      </c>
      <c r="E37" s="1">
        <f t="shared" ca="1" si="4"/>
        <v>131</v>
      </c>
      <c r="F37" s="3">
        <f t="shared" ca="1" si="1"/>
        <v>46057</v>
      </c>
    </row>
    <row r="38" spans="1:6" x14ac:dyDescent="0.3">
      <c r="A38" s="1" t="s">
        <v>25</v>
      </c>
      <c r="B38" s="1" t="s">
        <v>11</v>
      </c>
      <c r="C38" s="1">
        <f t="shared" ca="1" si="2"/>
        <v>1088</v>
      </c>
      <c r="D38" s="1">
        <f t="shared" ca="1" si="3"/>
        <v>398</v>
      </c>
      <c r="E38" s="1">
        <f t="shared" ca="1" si="4"/>
        <v>1392</v>
      </c>
      <c r="F38" s="3">
        <f t="shared" ca="1" si="1"/>
        <v>46381</v>
      </c>
    </row>
    <row r="39" spans="1:6" x14ac:dyDescent="0.3">
      <c r="A39" s="1" t="s">
        <v>25</v>
      </c>
      <c r="B39" s="1" t="s">
        <v>18</v>
      </c>
      <c r="C39" s="1">
        <f t="shared" ca="1" si="2"/>
        <v>2216</v>
      </c>
      <c r="D39" s="1">
        <f t="shared" ca="1" si="3"/>
        <v>1624</v>
      </c>
      <c r="E39" s="1">
        <f t="shared" ca="1" si="4"/>
        <v>1903</v>
      </c>
      <c r="F39" s="3">
        <f t="shared" ca="1" si="1"/>
        <v>46320</v>
      </c>
    </row>
    <row r="40" spans="1:6" x14ac:dyDescent="0.3">
      <c r="A40" s="1" t="s">
        <v>25</v>
      </c>
      <c r="B40" s="1" t="s">
        <v>17</v>
      </c>
      <c r="C40" s="1">
        <f t="shared" ca="1" si="2"/>
        <v>2221</v>
      </c>
      <c r="D40" s="1">
        <f t="shared" ca="1" si="3"/>
        <v>254</v>
      </c>
      <c r="E40" s="1">
        <f t="shared" ca="1" si="4"/>
        <v>585</v>
      </c>
      <c r="F40" s="3">
        <f t="shared" ca="1" si="1"/>
        <v>46202</v>
      </c>
    </row>
    <row r="41" spans="1:6" x14ac:dyDescent="0.3">
      <c r="A41" s="1" t="s">
        <v>25</v>
      </c>
      <c r="B41" s="1" t="s">
        <v>19</v>
      </c>
      <c r="C41" s="1">
        <f t="shared" ca="1" si="2"/>
        <v>1855</v>
      </c>
      <c r="D41" s="1">
        <f t="shared" ca="1" si="3"/>
        <v>465</v>
      </c>
      <c r="E41" s="1">
        <f t="shared" ca="1" si="4"/>
        <v>1318</v>
      </c>
      <c r="F41" s="3">
        <f t="shared" ca="1" si="1"/>
        <v>46137</v>
      </c>
    </row>
    <row r="42" spans="1:6" x14ac:dyDescent="0.3">
      <c r="A42" s="1" t="s">
        <v>25</v>
      </c>
      <c r="B42" s="1" t="s">
        <v>20</v>
      </c>
      <c r="C42" s="1">
        <f t="shared" ca="1" si="2"/>
        <v>1100</v>
      </c>
      <c r="D42" s="1">
        <f t="shared" ca="1" si="3"/>
        <v>209</v>
      </c>
      <c r="E42" s="1">
        <f t="shared" ca="1" si="4"/>
        <v>392</v>
      </c>
      <c r="F42" s="3">
        <f t="shared" ca="1" si="1"/>
        <v>46209</v>
      </c>
    </row>
    <row r="43" spans="1:6" x14ac:dyDescent="0.3">
      <c r="A43" s="1" t="s">
        <v>25</v>
      </c>
      <c r="B43" s="1" t="s">
        <v>13</v>
      </c>
      <c r="C43" s="1">
        <f t="shared" ca="1" si="2"/>
        <v>1476</v>
      </c>
      <c r="D43" s="1">
        <f t="shared" ca="1" si="3"/>
        <v>1335</v>
      </c>
      <c r="E43" s="1">
        <f t="shared" ca="1" si="4"/>
        <v>1776</v>
      </c>
      <c r="F43" s="3">
        <f t="shared" ca="1" si="1"/>
        <v>46324</v>
      </c>
    </row>
    <row r="44" spans="1:6" x14ac:dyDescent="0.3">
      <c r="A44" s="1" t="s">
        <v>25</v>
      </c>
      <c r="B44" s="1" t="s">
        <v>21</v>
      </c>
      <c r="C44" s="1">
        <f t="shared" ca="1" si="2"/>
        <v>2370</v>
      </c>
      <c r="D44" s="1">
        <f t="shared" ca="1" si="3"/>
        <v>1566</v>
      </c>
      <c r="E44" s="1">
        <f t="shared" ca="1" si="4"/>
        <v>2074</v>
      </c>
      <c r="F44" s="3">
        <f t="shared" ca="1" si="1"/>
        <v>46379</v>
      </c>
    </row>
    <row r="45" spans="1:6" x14ac:dyDescent="0.3">
      <c r="A45" s="1" t="s">
        <v>25</v>
      </c>
      <c r="B45" s="1" t="s">
        <v>9</v>
      </c>
      <c r="C45" s="1">
        <f t="shared" ca="1" si="2"/>
        <v>2308</v>
      </c>
      <c r="D45" s="1">
        <f t="shared" ca="1" si="3"/>
        <v>236</v>
      </c>
      <c r="E45" s="1">
        <f t="shared" ca="1" si="4"/>
        <v>340</v>
      </c>
      <c r="F45" s="3">
        <f t="shared" ca="1" si="1"/>
        <v>46212</v>
      </c>
    </row>
    <row r="46" spans="1:6" x14ac:dyDescent="0.3">
      <c r="A46" s="1" t="s">
        <v>25</v>
      </c>
      <c r="B46" s="1" t="s">
        <v>8</v>
      </c>
      <c r="C46" s="1">
        <f t="shared" ca="1" si="2"/>
        <v>564</v>
      </c>
      <c r="D46" s="1">
        <f t="shared" ca="1" si="3"/>
        <v>977</v>
      </c>
      <c r="E46" s="1">
        <f t="shared" ca="1" si="4"/>
        <v>1924</v>
      </c>
      <c r="F46" s="3">
        <f t="shared" ca="1" si="1"/>
        <v>46023</v>
      </c>
    </row>
    <row r="47" spans="1:6" x14ac:dyDescent="0.3">
      <c r="A47" s="1" t="s">
        <v>25</v>
      </c>
      <c r="B47" s="1" t="s">
        <v>22</v>
      </c>
      <c r="C47" s="1">
        <f t="shared" ca="1" si="2"/>
        <v>248</v>
      </c>
      <c r="D47" s="1">
        <f t="shared" ca="1" si="3"/>
        <v>139</v>
      </c>
      <c r="E47" s="1">
        <f t="shared" ca="1" si="4"/>
        <v>1290</v>
      </c>
      <c r="F47" s="3">
        <f t="shared" ca="1" si="1"/>
        <v>46270</v>
      </c>
    </row>
    <row r="48" spans="1:6" x14ac:dyDescent="0.3">
      <c r="A48" s="1" t="s">
        <v>25</v>
      </c>
      <c r="B48" s="1" t="s">
        <v>10</v>
      </c>
      <c r="C48" s="1">
        <f t="shared" ca="1" si="2"/>
        <v>2327</v>
      </c>
      <c r="D48" s="1">
        <f t="shared" ca="1" si="3"/>
        <v>537</v>
      </c>
      <c r="E48" s="1">
        <f t="shared" ca="1" si="4"/>
        <v>595</v>
      </c>
      <c r="F48" s="3">
        <f t="shared" ca="1" si="1"/>
        <v>46296</v>
      </c>
    </row>
    <row r="49" spans="1:6" x14ac:dyDescent="0.3">
      <c r="A49" s="1" t="s">
        <v>25</v>
      </c>
      <c r="B49" s="1" t="s">
        <v>14</v>
      </c>
      <c r="C49" s="1">
        <f t="shared" ca="1" si="2"/>
        <v>2291</v>
      </c>
      <c r="D49" s="1">
        <f t="shared" ca="1" si="3"/>
        <v>114</v>
      </c>
      <c r="E49" s="1">
        <f t="shared" ca="1" si="4"/>
        <v>689</v>
      </c>
      <c r="F49" s="3">
        <f t="shared" ca="1" si="1"/>
        <v>46097</v>
      </c>
    </row>
    <row r="50" spans="1:6" x14ac:dyDescent="0.3">
      <c r="A50" s="1" t="s">
        <v>25</v>
      </c>
      <c r="B50" s="1" t="s">
        <v>12</v>
      </c>
      <c r="C50" s="1">
        <f t="shared" ca="1" si="2"/>
        <v>273</v>
      </c>
      <c r="D50" s="1">
        <f t="shared" ca="1" si="3"/>
        <v>1443</v>
      </c>
      <c r="E50" s="1">
        <f t="shared" ca="1" si="4"/>
        <v>2171</v>
      </c>
      <c r="F50" s="3">
        <f t="shared" ca="1" si="1"/>
        <v>46108</v>
      </c>
    </row>
    <row r="51" spans="1:6" x14ac:dyDescent="0.3">
      <c r="A51" s="1" t="s">
        <v>25</v>
      </c>
      <c r="B51" s="1" t="s">
        <v>16</v>
      </c>
      <c r="C51" s="1">
        <f t="shared" ca="1" si="2"/>
        <v>2025</v>
      </c>
      <c r="D51" s="1">
        <f t="shared" ca="1" si="3"/>
        <v>143</v>
      </c>
      <c r="E51" s="1">
        <f t="shared" ca="1" si="4"/>
        <v>158</v>
      </c>
      <c r="F51" s="3">
        <f t="shared" ca="1" si="1"/>
        <v>46337</v>
      </c>
    </row>
    <row r="52" spans="1:6" x14ac:dyDescent="0.3">
      <c r="A52" s="1" t="s">
        <v>25</v>
      </c>
      <c r="B52" s="1" t="s">
        <v>7</v>
      </c>
      <c r="C52" s="1">
        <f t="shared" ca="1" si="2"/>
        <v>2406</v>
      </c>
      <c r="D52" s="1">
        <f t="shared" ca="1" si="3"/>
        <v>131</v>
      </c>
      <c r="E52" s="1">
        <f t="shared" ca="1" si="4"/>
        <v>306</v>
      </c>
      <c r="F52" s="3">
        <f t="shared" ca="1" si="1"/>
        <v>46262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Alimentation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TRANCHANT Kellian</cp:lastModifiedBy>
  <dcterms:created xsi:type="dcterms:W3CDTF">2026-09-17T12:49:25Z</dcterms:created>
  <dcterms:modified xsi:type="dcterms:W3CDTF">2026-09-17T14:23:42Z</dcterms:modified>
</cp:coreProperties>
</file>